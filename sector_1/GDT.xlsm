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TURBOC3\SOURCE\bootCpp\sector_1\"/>
    </mc:Choice>
  </mc:AlternateContent>
  <xr:revisionPtr revIDLastSave="0" documentId="13_ncr:1_{DC6D8360-2199-4D83-9688-0997AF4E0BEC}" xr6:coauthVersionLast="47" xr6:coauthVersionMax="47" xr10:uidLastSave="{00000000-0000-0000-0000-000000000000}"/>
  <bookViews>
    <workbookView xWindow="926" yWindow="1869" windowWidth="19628" windowHeight="10302" xr2:uid="{00000000-000D-0000-FFFF-FFFF00000000}"/>
  </bookViews>
  <sheets>
    <sheet name="GD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G9" i="1" a="1"/>
  <c r="G8" i="1" a="1"/>
  <c r="G16" i="1" a="1"/>
  <c r="G14" i="1" a="1"/>
  <c r="G20" i="1" a="1"/>
  <c r="G12" i="1" a="1"/>
  <c r="G19" i="1" a="1"/>
  <c r="G15" i="1" a="1"/>
  <c r="G10" i="1" a="1"/>
  <c r="G18" i="1" a="1"/>
  <c r="G17" i="1" a="1"/>
  <c r="G11" i="1" a="1"/>
  <c r="G13" i="1" a="1"/>
  <c r="G8" i="1" l="1"/>
  <c r="G17" i="1"/>
  <c r="G16" i="1"/>
  <c r="G11" i="1"/>
  <c r="G14" i="1"/>
  <c r="G13" i="1"/>
  <c r="G19" i="1"/>
  <c r="G12" i="1"/>
  <c r="G15" i="1"/>
  <c r="G10" i="1"/>
  <c r="G9" i="1"/>
  <c r="G18" i="1"/>
  <c r="G20" i="1"/>
  <c r="H11" i="1" a="1"/>
  <c r="G7" i="1" l="1"/>
  <c r="G6" i="1"/>
  <c r="H11" i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<sst xmlns="http://schemas.openxmlformats.org/spreadsheetml/2006/main" count="36" uniqueCount="34">
  <si>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Type(8~11)</t>
    <phoneticPr fontId="1" type="noConversion"/>
  </si>
  <si>
    <t>S(12)</t>
    <phoneticPr fontId="1" type="noConversion"/>
  </si>
  <si>
    <t>DPL(13~14)</t>
    <phoneticPr fontId="1" type="noConversion"/>
  </si>
  <si>
    <t>P(15)</t>
    <phoneticPr fontId="1" type="noConversion"/>
  </si>
  <si>
    <t>AVL(20)</t>
    <phoneticPr fontId="1" type="noConversion"/>
  </si>
  <si>
    <t>D/B(22)</t>
    <phoneticPr fontId="1" type="noConversion"/>
  </si>
  <si>
    <t>G(23)</t>
    <phoneticPr fontId="1" type="noConversion"/>
  </si>
  <si>
    <t>DW0</t>
    <phoneticPr fontId="1" type="noConversion"/>
  </si>
  <si>
    <t>DW1</t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</si>
  <si>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0~15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</si>
  <si>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16~31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</si>
  <si>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0~7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</si>
  <si>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16~19</t>
    </r>
    <r>
      <rPr>
        <sz val="11"/>
        <color theme="1"/>
        <rFont val="等线"/>
        <family val="2"/>
      </rPr>
      <t>）</t>
    </r>
    <phoneticPr fontId="1" type="noConversion"/>
  </si>
  <si>
    <r>
      <t>L</t>
    </r>
    <r>
      <rPr>
        <sz val="11"/>
        <color theme="1"/>
        <rFont val="等线"/>
        <family val="2"/>
      </rPr>
      <t>（</t>
    </r>
    <r>
      <rPr>
        <sz val="11"/>
        <color theme="1"/>
        <rFont val="Consolas"/>
        <family val="3"/>
      </rPr>
      <t>21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</si>
  <si>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</t>
    </r>
    <r>
      <rPr>
        <sz val="11"/>
        <color theme="1"/>
        <rFont val="Consolas"/>
        <family val="3"/>
      </rPr>
      <t>(24~31)</t>
    </r>
    <phoneticPr fontId="1" type="noConversion"/>
  </si>
  <si>
    <r>
      <rPr>
        <sz val="11"/>
        <color theme="1"/>
        <rFont val="等线"/>
        <family val="2"/>
      </rPr>
      <t>地址</t>
    </r>
    <phoneticPr fontId="1" type="noConversion"/>
  </si>
  <si>
    <r>
      <t>1</t>
    </r>
    <r>
      <rPr>
        <sz val="11"/>
        <color theme="1"/>
        <rFont val="宋体"/>
        <family val="3"/>
        <charset val="134"/>
      </rPr>
      <t>：32位段</t>
    </r>
    <phoneticPr fontId="1" type="noConversion"/>
  </si>
  <si>
    <r>
      <t>1:</t>
    </r>
    <r>
      <rPr>
        <sz val="11"/>
        <color theme="1"/>
        <rFont val="宋体"/>
        <family val="3"/>
        <charset val="134"/>
      </rPr>
      <t>在内存中</t>
    </r>
    <phoneticPr fontId="1" type="noConversion"/>
  </si>
  <si>
    <t>特权级</t>
    <phoneticPr fontId="1" type="noConversion"/>
  </si>
  <si>
    <t>GDTR</t>
    <phoneticPr fontId="1" type="noConversion"/>
  </si>
  <si>
    <t>GDT</t>
    <phoneticPr fontId="1" type="noConversion"/>
  </si>
  <si>
    <r>
      <rPr>
        <sz val="11"/>
        <color theme="1"/>
        <rFont val="宋体"/>
        <family val="3"/>
        <charset val="134"/>
      </rPr>
      <t>全局描述符表边界(2</t>
    </r>
    <r>
      <rPr>
        <sz val="11"/>
        <color theme="1"/>
        <rFont val="Consolas"/>
        <family val="3"/>
      </rPr>
      <t>B)</t>
    </r>
    <phoneticPr fontId="1" type="noConversion"/>
  </si>
  <si>
    <r>
      <rPr>
        <sz val="11"/>
        <color theme="1"/>
        <rFont val="宋体"/>
        <family val="3"/>
        <charset val="134"/>
      </rPr>
      <t>全局描述符基址</t>
    </r>
    <r>
      <rPr>
        <sz val="11"/>
        <color theme="1"/>
        <rFont val="Consolas"/>
        <family val="3"/>
      </rPr>
      <t>(4B)</t>
    </r>
    <phoneticPr fontId="1" type="noConversion"/>
  </si>
  <si>
    <t>00007e00</t>
    <phoneticPr fontId="1" type="noConversion"/>
  </si>
  <si>
    <r>
      <t>4</t>
    </r>
    <r>
      <rPr>
        <sz val="11"/>
        <color theme="1"/>
        <rFont val="宋体"/>
        <family val="3"/>
        <charset val="134"/>
      </rPr>
      <t>个符，每个占8</t>
    </r>
    <r>
      <rPr>
        <sz val="11"/>
        <color theme="1"/>
        <rFont val="Consolas"/>
        <family val="3"/>
      </rPr>
      <t>B</t>
    </r>
    <phoneticPr fontId="1" type="noConversion"/>
  </si>
  <si>
    <t>粒度0:字节,1:4KB</t>
    <phoneticPr fontId="1" type="noConversion"/>
  </si>
  <si>
    <t>X:执行，E:向下扩展，W:写入</t>
    <phoneticPr fontId="1" type="noConversion"/>
  </si>
  <si>
    <t>界限</t>
    <phoneticPr fontId="1" type="noConversion"/>
  </si>
  <si>
    <t>处理器不用</t>
    <phoneticPr fontId="1" type="noConversion"/>
  </si>
  <si>
    <t>1：64位代码段</t>
    <phoneticPr fontId="1" type="noConversion"/>
  </si>
  <si>
    <t>0:系统段，1:代码或数据段</t>
    <phoneticPr fontId="1" type="noConversion"/>
  </si>
  <si>
    <t>段基址</t>
    <phoneticPr fontId="1" type="noConversion"/>
  </si>
  <si>
    <t>0000ffff</t>
    <phoneticPr fontId="1" type="noConversion"/>
  </si>
  <si>
    <t>00cf9a00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</si>
</sst>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rgb="FF191B1F"/>
      <name val="Consolas"/>
      <family val="3"/>
    </font>
    <font>
      <sz val="11"/>
      <color theme="1"/>
      <name val="Consolas"/>
      <family val="3"/>
    </font>
    <font>
      <sz val="11"/>
      <color theme="1"/>
      <name val="等线"/>
      <family val="2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6" fillId="0" borderId="1" xfId="0" applyFont="1" applyBorder="1"/>
    <xf numFmtId="0" fontId="3" fillId="2" borderId="1" xfId="0" applyFont="1" applyFill="1" applyBorder="1"/>
    <xf numFmtId="0" fontId="7" fillId="0" borderId="1" xfId="0" applyFont="1" applyBorder="1"/>
    <xf numFmtId="49" fontId="3" fillId="0" borderId="1" xfId="0" applyNumberFormat="1" applyFont="1" applyBorder="1"/>
    <xf numFmtId="0" fontId="5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1284514</xdr:colOff>
      <xdr:row>35</xdr:row>
      <xdr:rowOff>131803</xdr:rowOff>
    </xdr:from>
    <xdr:to>
      <xdr:col>16</xdr:col>
      <xdr:colOff>220143</xdr:colOff>
      <xdr:row>53</xdr:row>
      <xdr:rowOff>77027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58C98CD-857E-3177-8026-4C49AA289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1943" y="6336660"/>
          <a:ext cx="10180571" cy="3276253"/>
        </a:xfrm>
        <a:prstGeom prst="rect">
          <a:avLst/>
        </a:prstGeom>
      </xdr:spPr>
    </xdr:pic>
    <xdr:clientData/>
  </xdr:twoCellAnchor>
  <xdr:twoCellAnchor editAs="oneCell">
    <xdr:from>
      <xdr:col>0</xdr:col>
      <xdr:colOff>332015</xdr:colOff>
      <xdr:row>33</xdr:row>
      <xdr:rowOff>152651</xdr:rowOff>
    </xdr:from>
    <xdr:to>
      <xdr:col>5</xdr:col>
      <xdr:colOff>1382485</xdr:colOff>
      <xdr:row>40</xdr:row>
      <xdr:rowOff>16063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8D77475-0A27-DE20-4518-9435BA29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2015" y="6689522"/>
          <a:ext cx="6057899" cy="1158812"/>
        </a:xfrm>
        <a:prstGeom prst="rect">
          <a:avLst/>
        </a:prstGeom>
      </xdr:spPr>
    </xdr:pic>
    <xdr:clientData/>
  </xdr:twoCellAnchor>
  <xdr:twoCellAnchor editAs="oneCell">
    <xdr:from>
      <xdr:col>0</xdr:col>
      <xdr:colOff>337458</xdr:colOff>
      <xdr:row>42</xdr:row>
      <xdr:rowOff>85036</xdr:rowOff>
    </xdr:from>
    <xdr:to>
      <xdr:col>5</xdr:col>
      <xdr:colOff>1491181</xdr:colOff>
      <xdr:row>53</xdr:row>
      <xdr:rowOff>29261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BFD4C1D-107C-F9E7-737D-9E2EC0122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458" y="7770350"/>
          <a:ext cx="6161152" cy="19798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G4" sqref="G4"/>
    </sheetView>
  </sheetViews>
  <sheetFormatPr defaultRowHeight="14.6" x14ac:dyDescent="0.4"/>
  <cols>
    <col min="1" max="1" width="20.640625" style="3" customWidth="1"/>
    <col min="2" max="2" width="14.640625" style="3" customWidth="1"/>
    <col min="3" max="3" width="15.7109375" style="3" customWidth="1"/>
    <col min="4" max="4" width="6.85546875" style="3" customWidth="1"/>
    <col min="5" max="5" width="7.85546875" style="3" customWidth="1"/>
    <col min="6" max="6" width="21.92578125" style="3" customWidth="1"/>
    <col min="7" max="7" width="12.140625" style="3" customWidth="1"/>
    <col min="8" max="8" width="20.640625" style="3" customWidth="1"/>
    <col min="9" max="9" width="28.85546875" style="3" customWidth="1"/>
    <col min="10" max="16384" width="9.140625" style="3"/>
  </cols>
  <sheetData>
    <row r="1" spans="1:9" x14ac:dyDescent="0.4">
      <c r="A1" s="10" t="s">
        <v>19</v>
      </c>
      <c r="B1" s="11"/>
      <c r="C1" s="12"/>
      <c r="E1" s="15" t="s">
        <v>20</v>
      </c>
      <c r="F1" s="15"/>
      <c r="G1" s="15"/>
      <c r="H1" s="15"/>
      <c r="I1" s="15"/>
    </row>
    <row r="2" spans="1:9" ht="15" x14ac:dyDescent="0.4">
      <c r="A2" s="7" t="s">
        <v>21</v>
      </c>
      <c r="B2" s="4" t="str">
        <f>DEC2HEX(4*8-1)</f>
        <v>1F</v>
      </c>
      <c r="C2" s="4" t="s">
        <v>24</v>
      </c>
      <c r="E2" s="4"/>
      <c r="F2" s="6" t="s">
        <v>7</v>
      </c>
      <c r="G2" s="1" t="s">
        <v>32</v>
      </c>
      <c r="H2" s="4"/>
      <c r="I2" s="4"/>
    </row>
    <row r="3" spans="1:9" ht="15" x14ac:dyDescent="0.4">
      <c r="A3" s="7" t="s">
        <v>22</v>
      </c>
      <c r="B3" s="8" t="s">
        <v>23</v>
      </c>
      <c r="C3" s="8"/>
      <c r="E3" s="4"/>
      <c r="F3" s="6" t="s">
        <v>8</v>
      </c>
      <c r="G3" s="2" t="s">
        <v>33</v>
      </c>
      <c r="H3" s="4"/>
      <c r="I3" s="4"/>
    </row>
    <row r="4" spans="1:9" x14ac:dyDescent="0.4">
      <c r="E4" s="4"/>
      <c r="F4" s="6"/>
      <c r="G4" s="4"/>
      <c r="H4" s="4"/>
      <c r="I4" s="4"/>
    </row>
    <row r="5" spans="1:9" x14ac:dyDescent="0.4">
      <c r="E5" s="17" t="s">
        <v>15</v>
      </c>
      <c r="F5" s="18"/>
      <c r="G5" s="4" t="str">
        <f>G20&amp;G10&amp;G9</f>
        <v>00000000</v>
      </c>
      <c r="H5" s="4"/>
      <c r="I5" s="4"/>
    </row>
    <row r="6" spans="1:9" ht="14.6" customHeight="1" x14ac:dyDescent="0.4">
      <c r="E6" s="13" t="s">
        <v>27</v>
      </c>
      <c r="F6" s="14"/>
      <c r="G6" s="4" t="str">
        <f>G15&amp;G8</f>
        <v>FFFFF</v>
      </c>
      <c r="H6" s="4"/>
      <c r="I6" s="4"/>
    </row>
    <row r="7" spans="1:9" ht="15" x14ac:dyDescent="0.4">
      <c r="E7" s="13" t="s">
        <v>31</v>
      </c>
      <c r="F7" s="14"/>
      <c r="G7" s="3" t="str">
        <f>G20&amp;G10&amp;G9</f>
        <v>00000000</v>
      </c>
      <c r="H7" s="4"/>
      <c r="I7" s="4"/>
    </row>
    <row r="8" spans="1:9" x14ac:dyDescent="0.4">
      <c r="E8" s="15" t="s">
        <v>7</v>
      </c>
      <c r="F8" s="6" t="s">
        <v>9</v>
      </c>
      <c r="G8" s="4" t="str" cm="1">
        <f t="array" ref="G8">GrabHex($G$2,0,15,4)</f>
        <v>FFFF</v>
      </c>
      <c r="H8" s="4"/>
      <c r="I8" s="4"/>
    </row>
    <row r="9" spans="1:9" x14ac:dyDescent="0.4">
      <c r="E9" s="15"/>
      <c r="F9" s="6" t="s">
        <v>10</v>
      </c>
      <c r="G9" s="4" t="str" cm="1">
        <f t="array" ref="G9">GrabHex($G$2,16,31,4)</f>
        <v>0000</v>
      </c>
      <c r="H9" s="4"/>
      <c r="I9" s="4"/>
    </row>
    <row r="10" spans="1:9" ht="16.3" x14ac:dyDescent="0.5">
      <c r="E10" s="16" t="s">
        <v>8</v>
      </c>
      <c r="F10" s="6" t="s">
        <v>11</v>
      </c>
      <c r="G10" s="4" t="str" cm="1">
        <f t="array" ref="G10">GrabHex($G$3,0,7,2)</f>
        <v>00</v>
      </c>
      <c r="H10" s="4"/>
      <c r="I10" s="9"/>
    </row>
    <row r="11" spans="1:9" ht="15" x14ac:dyDescent="0.4">
      <c r="E11" s="16"/>
      <c r="F11" s="6" t="s">
        <v>0</v>
      </c>
      <c r="G11" s="4" t="str" cm="1">
        <f t="array" ref="G11">GrabHex($G$3,8,11)</f>
        <v>A</v>
      </c>
      <c r="H11" s="4" t="str" cm="1">
        <f t="array" ref="H11">"X:"&amp;GrabHex(G11,3,3)&amp;",E:" &amp; GrabHex(G11,2,2)&amp;",W:" &amp;GrabHex(G11,1,1)</f>
        <v>X:1,E:0,W:1</v>
      </c>
      <c r="I11" s="5" t="s">
        <v>26</v>
      </c>
    </row>
    <row r="12" spans="1:9" ht="15" x14ac:dyDescent="0.4">
      <c r="E12" s="16"/>
      <c r="F12" s="6" t="s">
        <v>1</v>
      </c>
      <c r="G12" s="4" t="str" cm="1">
        <f t="array" ref="G12">GrabHex($G$3,12,12)</f>
        <v>1</v>
      </c>
      <c r="H12" s="4"/>
      <c r="I12" s="5" t="s">
        <v>30</v>
      </c>
    </row>
    <row r="13" spans="1:9" ht="15" x14ac:dyDescent="0.4">
      <c r="E13" s="16"/>
      <c r="F13" s="6" t="s">
        <v>2</v>
      </c>
      <c r="G13" s="4" t="str" cm="1">
        <f t="array" ref="G13">GrabHex($G$3,13,14)</f>
        <v>0</v>
      </c>
      <c r="H13" s="4"/>
      <c r="I13" s="5" t="s">
        <v>18</v>
      </c>
    </row>
    <row r="14" spans="1:9" ht="15" x14ac:dyDescent="0.4">
      <c r="E14" s="16"/>
      <c r="F14" s="6" t="s">
        <v>3</v>
      </c>
      <c r="G14" s="4" t="str" cm="1">
        <f t="array" ref="G14">GrabHex($G$3,15,15)</f>
        <v>1</v>
      </c>
      <c r="H14" s="4"/>
      <c r="I14" s="5" t="s">
        <v>17</v>
      </c>
    </row>
    <row r="15" spans="1:9" ht="15" x14ac:dyDescent="0.4">
      <c r="E15" s="16"/>
      <c r="F15" s="6" t="s">
        <v>12</v>
      </c>
      <c r="G15" s="4" t="str" cm="1">
        <f t="array" ref="G15">GrabHex($G$3,16,19)</f>
        <v>F</v>
      </c>
      <c r="H15" s="4"/>
      <c r="I15" s="5"/>
    </row>
    <row r="16" spans="1:9" ht="15" x14ac:dyDescent="0.4">
      <c r="E16" s="16"/>
      <c r="F16" s="6" t="s">
        <v>4</v>
      </c>
      <c r="G16" s="4" t="str" cm="1">
        <f t="array" ref="G16">GrabHex($G$3,20,20)</f>
        <v>0</v>
      </c>
      <c r="H16" s="4"/>
      <c r="I16" s="5" t="s">
        <v>28</v>
      </c>
    </row>
    <row r="17" spans="5:9" ht="15" x14ac:dyDescent="0.4">
      <c r="E17" s="16"/>
      <c r="F17" s="6" t="s">
        <v>13</v>
      </c>
      <c r="G17" s="4" t="str" cm="1">
        <f t="array" ref="G17">GrabHex($G$3,21,21)</f>
        <v>0</v>
      </c>
      <c r="H17" s="4"/>
      <c r="I17" s="5" t="s">
        <v>29</v>
      </c>
    </row>
    <row r="18" spans="5:9" ht="15" x14ac:dyDescent="0.4">
      <c r="E18" s="16"/>
      <c r="F18" s="6" t="s">
        <v>5</v>
      </c>
      <c r="G18" s="4" t="str" cm="1">
        <f t="array" ref="G18">GrabHex($G$3,22,22)</f>
        <v>1</v>
      </c>
      <c r="H18" s="4"/>
      <c r="I18" s="5" t="s">
        <v>16</v>
      </c>
    </row>
    <row r="19" spans="5:9" ht="15" x14ac:dyDescent="0.4">
      <c r="E19" s="16"/>
      <c r="F19" s="6" t="s">
        <v>6</v>
      </c>
      <c r="G19" s="4" t="str" cm="1">
        <f t="array" ref="G19">GrabHex($G$3,23,23)</f>
        <v>1</v>
      </c>
      <c r="H19" s="4"/>
      <c r="I19" s="5" t="s">
        <v>25</v>
      </c>
    </row>
    <row r="20" spans="5:9" x14ac:dyDescent="0.4">
      <c r="E20" s="16"/>
      <c r="F20" s="6" t="s">
        <v>14</v>
      </c>
      <c r="G20" s="4" t="str" cm="1">
        <f t="array" ref="G20">GrabHex($G$3,24,31,2)</f>
        <v>00</v>
      </c>
      <c r="H20" s="4"/>
      <c r="I20" s="4"/>
    </row>
  </sheetData>
  <mergeCells count="7">
    <mergeCell ref="A1:C1"/>
    <mergeCell ref="E6:F6"/>
    <mergeCell ref="E8:E9"/>
    <mergeCell ref="E10:E20"/>
    <mergeCell ref="E1:I1"/>
    <mergeCell ref="E5:F5"/>
    <mergeCell ref="E7:F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sharp cao</dc:creator>
  <cp:lastModifiedBy>sharp cao</cp:lastModifiedBy>
  <dcterms:created xsi:type="dcterms:W3CDTF">2015-06-05T18:19:34Z</dcterms:created>
  <dcterms:modified xsi:type="dcterms:W3CDTF">2025-01-27T02:20:19Z</dcterms:modified>
</cp:coreProperties>
</file>